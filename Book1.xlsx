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rija\"/>
    </mc:Choice>
  </mc:AlternateContent>
  <xr:revisionPtr revIDLastSave="0" documentId="13_ncr:1_{9FBCC05A-B45E-4BE0-950E-587AA95EC896}" xr6:coauthVersionLast="47" xr6:coauthVersionMax="47" xr10:uidLastSave="{00000000-0000-0000-0000-000000000000}"/>
  <bookViews>
    <workbookView xWindow="-120" yWindow="-120" windowWidth="20730" windowHeight="11160" xr2:uid="{4129B6AE-486E-44D5-8676-A851061AE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<sst xmlns="http://schemas.openxmlformats.org/spreadsheetml/2006/main" count="25" uniqueCount="25">
  <si>
    <t>S.No</t>
  </si>
  <si>
    <t>Student ID</t>
  </si>
  <si>
    <t>Name</t>
  </si>
  <si>
    <t>Telugu</t>
  </si>
  <si>
    <t>Hindi</t>
  </si>
  <si>
    <t>English</t>
  </si>
  <si>
    <t>Maths</t>
  </si>
  <si>
    <t>Science</t>
  </si>
  <si>
    <t>Social</t>
  </si>
  <si>
    <t>Total</t>
  </si>
  <si>
    <t>Average</t>
  </si>
  <si>
    <t>Percentage</t>
  </si>
  <si>
    <t>Grade</t>
  </si>
  <si>
    <t>Pass/Fail</t>
  </si>
  <si>
    <t>Rank</t>
  </si>
  <si>
    <t>Surya</t>
  </si>
  <si>
    <t>Srikar</t>
  </si>
  <si>
    <t>Srija</t>
  </si>
  <si>
    <t>Satya</t>
  </si>
  <si>
    <t>Sravani</t>
  </si>
  <si>
    <t>Surekha</t>
  </si>
  <si>
    <t>Srinu</t>
  </si>
  <si>
    <t>Sandhya</t>
  </si>
  <si>
    <t>Srikan</t>
  </si>
  <si>
    <t>Sreya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</si>
</sst>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9B65-90EE-41E7-9423-24C5622AF0B3}">
  <dimension ref="A1:O11"/>
  <sheetViews>
    <sheetView tabSelected="1" workbookViewId="0">
      <selection activeCell="F14" sqref="F14"/>
    </sheetView>
  </sheetViews>
  <sheetFormatPr defaultRowHeight="15" x14ac:dyDescent="0.25"/>
  <cols>
    <col min="1" max="1" width="8.85546875" customWidth="1"/>
    <col min="2" max="2" width="13" customWidth="1"/>
    <col min="3" max="3" width="15.140625" customWidth="1"/>
    <col min="12" max="12" width="1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>
        <v>2001</v>
      </c>
      <c r="C2" s="2" t="s">
        <v>15</v>
      </c>
      <c r="D2" s="2">
        <v>98</v>
      </c>
      <c r="E2" s="2">
        <v>99</v>
      </c>
      <c r="F2" s="2">
        <v>94</v>
      </c>
      <c r="G2" s="2">
        <v>93</v>
      </c>
      <c r="H2" s="2">
        <v>94</v>
      </c>
      <c r="I2" s="2">
        <v>99</v>
      </c>
      <c r="J2" s="2">
        <f>SUM(D2:I2)</f>
        <v>577</v>
      </c>
      <c r="K2" s="2">
        <f>AVERAGE(J2/6)</f>
        <v>96.166666666666671</v>
      </c>
      <c r="L2" s="2">
        <f>(J2*100/600)</f>
        <v>96.166666666666671</v>
      </c>
      <c r="M2" s="2" t="str">
        <f>IF(K2&gt;90,"A",IF(K2&gt;80,"B",IF(K2&gt;70,"C")))</f>
        <v>A</v>
      </c>
      <c r="N2" s="2" t="str">
        <f>IF(D2&gt;35,IF(E2&gt;35,IF(F2&gt;35,IF(G2&gt;35,IF(H2&gt;35,IF(I2&gt;35,"Pass","Fail"))))))</f>
        <v>Pass</v>
      </c>
      <c r="O2" s="2">
        <f>RANK(J2,$J$2:$J$11)</f>
        <v>1</v>
      </c>
    </row>
    <row r="3" spans="1:15" x14ac:dyDescent="0.25">
      <c r="A3" s="2">
        <v>2</v>
      </c>
      <c r="B3" s="2">
        <v>2002</v>
      </c>
      <c r="C3" s="2" t="s">
        <v>17</v>
      </c>
      <c r="D3" s="2">
        <v>87</v>
      </c>
      <c r="E3" s="2">
        <v>79</v>
      </c>
      <c r="F3" s="2">
        <v>82</v>
      </c>
      <c r="G3" s="2">
        <v>93</v>
      </c>
      <c r="H3" s="2">
        <v>92</v>
      </c>
      <c r="I3" s="2">
        <v>91</v>
      </c>
      <c r="J3" s="2">
        <f t="shared" ref="J3:J11" si="0">SUM(D3:I3)</f>
        <v>524</v>
      </c>
      <c r="K3" s="2">
        <f t="shared" ref="K3:K11" si="1">AVERAGE(J3/6)</f>
        <v>87.333333333333329</v>
      </c>
      <c r="L3" s="2">
        <f t="shared" ref="L3:L11" si="2">(J3*100/600)</f>
        <v>87.333333333333329</v>
      </c>
      <c r="M3" s="2" t="str">
        <f t="shared" ref="M3:M11" si="3">IF(K3&gt;90,"A",IF(K3&gt;80,"B",IF(K3&gt;70,"C")))</f>
        <v>B</v>
      </c>
      <c r="N3" s="2" t="str">
        <f t="shared" ref="N3:N11" si="4">IF(D3&gt;35,IF(E3&gt;35,IF(F3&gt;35,IF(G3&gt;35,IF(H3&gt;35,IF(I3&gt;35,"Pass","Fail"))))))</f>
        <v>Pass</v>
      </c>
      <c r="O3" s="2">
        <f t="shared" ref="O3:O11" si="5">RANK(J3,$J$2:$J$11)</f>
        <v>3</v>
      </c>
    </row>
    <row r="4" spans="1:15" x14ac:dyDescent="0.25">
      <c r="A4" s="2">
        <v>3</v>
      </c>
      <c r="B4" s="2">
        <v>2003</v>
      </c>
      <c r="C4" s="2" t="s">
        <v>16</v>
      </c>
      <c r="D4" s="2">
        <v>78</v>
      </c>
      <c r="E4" s="2">
        <v>94</v>
      </c>
      <c r="F4" s="2">
        <v>91</v>
      </c>
      <c r="G4" s="2">
        <v>90</v>
      </c>
      <c r="H4" s="2">
        <v>79</v>
      </c>
      <c r="I4" s="2">
        <v>89</v>
      </c>
      <c r="J4" s="2">
        <f t="shared" si="0"/>
        <v>521</v>
      </c>
      <c r="K4" s="2">
        <f t="shared" si="1"/>
        <v>86.833333333333329</v>
      </c>
      <c r="L4" s="2">
        <f t="shared" si="2"/>
        <v>86.833333333333329</v>
      </c>
      <c r="M4" s="2" t="str">
        <f t="shared" si="3"/>
        <v>B</v>
      </c>
      <c r="N4" s="2" t="str">
        <f t="shared" si="4"/>
        <v>Pass</v>
      </c>
      <c r="O4" s="2">
        <f t="shared" si="5"/>
        <v>4</v>
      </c>
    </row>
    <row r="5" spans="1:15" x14ac:dyDescent="0.25">
      <c r="A5" s="2">
        <v>4</v>
      </c>
      <c r="B5" s="2">
        <v>2004</v>
      </c>
      <c r="C5" s="2" t="s">
        <v>18</v>
      </c>
      <c r="D5" s="2">
        <v>80</v>
      </c>
      <c r="E5" s="2">
        <v>81</v>
      </c>
      <c r="F5" s="2">
        <v>89</v>
      </c>
      <c r="G5" s="2">
        <v>87</v>
      </c>
      <c r="H5" s="2">
        <v>80</v>
      </c>
      <c r="I5" s="2">
        <v>87</v>
      </c>
      <c r="J5" s="2">
        <f t="shared" si="0"/>
        <v>504</v>
      </c>
      <c r="K5" s="2">
        <f t="shared" si="1"/>
        <v>84</v>
      </c>
      <c r="L5" s="2">
        <f t="shared" si="2"/>
        <v>84</v>
      </c>
      <c r="M5" s="2" t="str">
        <f t="shared" si="3"/>
        <v>B</v>
      </c>
      <c r="N5" s="2" t="str">
        <f t="shared" si="4"/>
        <v>Pass</v>
      </c>
      <c r="O5" s="2">
        <f t="shared" si="5"/>
        <v>7</v>
      </c>
    </row>
    <row r="6" spans="1:15" x14ac:dyDescent="0.25">
      <c r="A6" s="2">
        <v>5</v>
      </c>
      <c r="B6" s="2">
        <v>2005</v>
      </c>
      <c r="C6" s="2" t="s">
        <v>19</v>
      </c>
      <c r="D6" s="2">
        <v>87</v>
      </c>
      <c r="E6" s="2">
        <v>95</v>
      </c>
      <c r="F6" s="2">
        <v>80</v>
      </c>
      <c r="G6" s="2">
        <v>78</v>
      </c>
      <c r="H6" s="2">
        <v>70</v>
      </c>
      <c r="I6" s="2">
        <v>98</v>
      </c>
      <c r="J6" s="2">
        <f t="shared" si="0"/>
        <v>508</v>
      </c>
      <c r="K6" s="2">
        <f t="shared" si="1"/>
        <v>84.666666666666671</v>
      </c>
      <c r="L6" s="2">
        <f t="shared" si="2"/>
        <v>84.666666666666671</v>
      </c>
      <c r="M6" s="2" t="str">
        <f t="shared" si="3"/>
        <v>B</v>
      </c>
      <c r="N6" s="2" t="str">
        <f t="shared" si="4"/>
        <v>Pass</v>
      </c>
      <c r="O6" s="2">
        <f t="shared" si="5"/>
        <v>6</v>
      </c>
    </row>
    <row r="7" spans="1:15" x14ac:dyDescent="0.25">
      <c r="A7" s="2">
        <v>6</v>
      </c>
      <c r="B7" s="2">
        <v>2006</v>
      </c>
      <c r="C7" s="2" t="s">
        <v>20</v>
      </c>
      <c r="D7" s="2">
        <v>86</v>
      </c>
      <c r="E7" s="2">
        <v>83</v>
      </c>
      <c r="F7" s="2">
        <v>81</v>
      </c>
      <c r="G7" s="2">
        <v>79</v>
      </c>
      <c r="H7" s="2">
        <v>75</v>
      </c>
      <c r="I7" s="2">
        <v>84</v>
      </c>
      <c r="J7" s="2">
        <f t="shared" si="0"/>
        <v>488</v>
      </c>
      <c r="K7" s="2">
        <f t="shared" si="1"/>
        <v>81.333333333333329</v>
      </c>
      <c r="L7" s="2">
        <f t="shared" si="2"/>
        <v>81.333333333333329</v>
      </c>
      <c r="M7" s="2" t="str">
        <f t="shared" si="3"/>
        <v>B</v>
      </c>
      <c r="N7" s="2" t="str">
        <f t="shared" si="4"/>
        <v>Pass</v>
      </c>
      <c r="O7" s="2">
        <f t="shared" si="5"/>
        <v>9</v>
      </c>
    </row>
    <row r="8" spans="1:15" x14ac:dyDescent="0.25">
      <c r="A8" s="2">
        <v>7</v>
      </c>
      <c r="B8" s="2">
        <v>2007</v>
      </c>
      <c r="C8" s="2" t="s">
        <v>21</v>
      </c>
      <c r="D8" s="2">
        <v>83</v>
      </c>
      <c r="E8" s="2">
        <v>85</v>
      </c>
      <c r="F8" s="2">
        <v>82</v>
      </c>
      <c r="G8" s="2">
        <v>83</v>
      </c>
      <c r="H8" s="2">
        <v>79</v>
      </c>
      <c r="I8" s="2">
        <v>69</v>
      </c>
      <c r="J8" s="2">
        <f t="shared" si="0"/>
        <v>481</v>
      </c>
      <c r="K8" s="2">
        <f t="shared" si="1"/>
        <v>80.166666666666671</v>
      </c>
      <c r="L8" s="2">
        <f t="shared" si="2"/>
        <v>80.166666666666671</v>
      </c>
      <c r="M8" s="2" t="str">
        <f t="shared" si="3"/>
        <v>B</v>
      </c>
      <c r="N8" s="2" t="str">
        <f t="shared" si="4"/>
        <v>Pass</v>
      </c>
      <c r="O8" s="2">
        <f t="shared" si="5"/>
        <v>10</v>
      </c>
    </row>
    <row r="9" spans="1:15" x14ac:dyDescent="0.25">
      <c r="A9" s="2">
        <v>8</v>
      </c>
      <c r="B9" s="2">
        <v>2008</v>
      </c>
      <c r="C9" s="2" t="s">
        <v>22</v>
      </c>
      <c r="D9" s="2">
        <v>86</v>
      </c>
      <c r="E9" s="2">
        <v>79</v>
      </c>
      <c r="F9" s="2">
        <v>85</v>
      </c>
      <c r="G9" s="2">
        <v>85</v>
      </c>
      <c r="H9" s="2">
        <v>90</v>
      </c>
      <c r="I9" s="2">
        <v>79</v>
      </c>
      <c r="J9" s="2">
        <f t="shared" si="0"/>
        <v>504</v>
      </c>
      <c r="K9" s="2">
        <f t="shared" si="1"/>
        <v>84</v>
      </c>
      <c r="L9" s="2">
        <f t="shared" si="2"/>
        <v>84</v>
      </c>
      <c r="M9" s="2" t="str">
        <f t="shared" si="3"/>
        <v>B</v>
      </c>
      <c r="N9" s="2" t="str">
        <f t="shared" si="4"/>
        <v>Pass</v>
      </c>
      <c r="O9" s="2">
        <f t="shared" si="5"/>
        <v>7</v>
      </c>
    </row>
    <row r="10" spans="1:15" x14ac:dyDescent="0.25">
      <c r="A10" s="2">
        <v>9</v>
      </c>
      <c r="B10" s="2">
        <v>2009</v>
      </c>
      <c r="C10" s="2" t="s">
        <v>23</v>
      </c>
      <c r="D10" s="2">
        <v>83</v>
      </c>
      <c r="E10" s="2">
        <v>83</v>
      </c>
      <c r="F10" s="2">
        <v>90</v>
      </c>
      <c r="G10" s="2">
        <v>86</v>
      </c>
      <c r="H10" s="2">
        <v>85</v>
      </c>
      <c r="I10" s="2">
        <v>85</v>
      </c>
      <c r="J10" s="2">
        <f t="shared" si="0"/>
        <v>512</v>
      </c>
      <c r="K10" s="2">
        <f t="shared" si="1"/>
        <v>85.333333333333329</v>
      </c>
      <c r="L10" s="2">
        <f t="shared" si="2"/>
        <v>85.333333333333329</v>
      </c>
      <c r="M10" s="2" t="str">
        <f t="shared" si="3"/>
        <v>B</v>
      </c>
      <c r="N10" s="2" t="str">
        <f t="shared" si="4"/>
        <v>Pass</v>
      </c>
      <c r="O10" s="2">
        <f t="shared" si="5"/>
        <v>5</v>
      </c>
    </row>
    <row r="11" spans="1:15" x14ac:dyDescent="0.25">
      <c r="A11" s="2">
        <v>10</v>
      </c>
      <c r="B11" s="2">
        <v>2010</v>
      </c>
      <c r="C11" s="2" t="s">
        <v>24</v>
      </c>
      <c r="D11" s="2">
        <v>85</v>
      </c>
      <c r="E11" s="2">
        <v>90</v>
      </c>
      <c r="F11" s="2">
        <v>93</v>
      </c>
      <c r="G11" s="2">
        <v>84</v>
      </c>
      <c r="H11" s="2">
        <v>93</v>
      </c>
      <c r="I11" s="2">
        <v>90</v>
      </c>
      <c r="J11" s="2">
        <f t="shared" si="0"/>
        <v>535</v>
      </c>
      <c r="K11" s="2">
        <f t="shared" si="1"/>
        <v>89.166666666666671</v>
      </c>
      <c r="L11" s="2">
        <f t="shared" si="2"/>
        <v>89.166666666666671</v>
      </c>
      <c r="M11" s="2" t="str">
        <f t="shared" si="3"/>
        <v>B</v>
      </c>
      <c r="N11" s="2" t="str">
        <f t="shared" si="4"/>
        <v>Pass</v>
      </c>
      <c r="O11" s="2">
        <f t="shared" si="5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2025-10-24T11:33:10Z</dcterms:created>
  <dcterms:modified xsi:type="dcterms:W3CDTF">2025-10-24T11:58:56Z</dcterms:modified>
</cp:coreProperties>
</file>